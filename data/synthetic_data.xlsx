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taly Inverter Demand Surge" sheetId="2" state="visible" r:id="rId4"/>
    <sheet name="Poland Certification Delay" sheetId="3" state="visible" r:id="rId5"/>
    <sheet name="Germany Residential Battery Ove" sheetId="4" state="visible" r:id="rId6"/>
    <sheet name="France Module Capacity Allocati" sheetId="5" state="visible" r:id="rId7"/>
    <sheet name="Germany New Compact ESS Launc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<sst xmlns="http://schemas.openxmlformats.org/spreadsheetml/2006/main" count="116" uniqueCount="66">
  <si>
    <t xml:space="preserve">AI Multi-Agent S&amp;OP Platform — Synthetic Data</t>
  </si>
  <si>
    <t xml:space="preserve">SunArc Solar (fictional company)</t>
  </si>
  <si>
    <t xml:space="preserve">All data in this file is synthetic, created for portfolio demonstration purposes only, and does not represent any real company.</t>
  </si>
  <si>
    <t xml:space="preserve">Field Definitions</t>
  </si>
  <si>
    <t xml:space="preserve">sales_forecast_request</t>
  </si>
  <si>
    <t xml:space="preserve">Monthly volume requested by Sales (unit depends on scenario.unit)</t>
  </si>
  <si>
    <t xml:space="preserve">current_supply_capacity</t>
  </si>
  <si>
    <t xml:space="preserve">Production/procurement capacity available that month (same unit)</t>
  </si>
  <si>
    <t xml:space="preserve">lead_time_weeks</t>
  </si>
  <si>
    <t xml:space="preserve">Lead time from order to supply, in weeks (normal baseline 8-16 weeks)</t>
  </si>
  <si>
    <t xml:space="preserve">moq</t>
  </si>
  <si>
    <t xml:space="preserve">Minimum order quantity</t>
  </si>
  <si>
    <t xml:space="preserve">unit_cost_eur</t>
  </si>
  <si>
    <t xml:space="preserve">Unit cost (EUR) — per module for the module scenario, per unit for inverters/ESS</t>
  </si>
  <si>
    <t xml:space="preserve">inventory_on_hand</t>
  </si>
  <si>
    <t xml:space="preserve">Inventory on hand at the start of the month (same unit)</t>
  </si>
  <si>
    <t xml:space="preserve">target_inventory_level</t>
  </si>
  <si>
    <t xml:space="preserve">Target inventory = sales_forecast_request (demand proxy for that month) x target_inventory_months (1.5). Simplified for Phase 1; could be refined with a moving average later.</t>
  </si>
  <si>
    <t xml:space="preserve">inventory_gap</t>
  </si>
  <si>
    <t xml:space="preserve">inventory_on_hand - target_inventory_level. Positive = surplus (overstock), negative = deficit (higher supply urgency)</t>
  </si>
  <si>
    <t xml:space="preserve">consecutive_surplus_months</t>
  </si>
  <si>
    <t xml:space="preserve">How many consecutive months inventory_gap has been positive (resets to 0 on a negative month)</t>
  </si>
  <si>
    <t xml:space="preserve">product_lifecycle_stage</t>
  </si>
  <si>
    <t xml:space="preserve">'established' (existing product, trend-based reasoning possible) or 'new_launch' (no historical data)</t>
  </si>
  <si>
    <t xml:space="preserve">launch_month</t>
  </si>
  <si>
    <t xml:space="preserve">Launch month if product_lifecycle_stage is new_launch; null for established products</t>
  </si>
  <si>
    <t xml:space="preserve">Italy Inverter Demand Surge</t>
  </si>
  <si>
    <t xml:space="preserve">Product: HYB-G3 Inverter 10kW 3P    Market: Italy    Unit: units    Lifecycle: established</t>
  </si>
  <si>
    <t xml:space="preserve">Demand for three-phase inverters in the Italian C&amp;I (commercial &amp; industrial) segment is growing faster than expected. Market intelligence suggests a competitor (fictional name: VoltRax) is gaining share by offering a comparable spec at a 20% lower price. Sales is requesting an immediate volume increase to prevent customer churn, but current production capacity has little slack due to raw-material lead-time constraints.</t>
  </si>
  <si>
    <t xml:space="preserve">Month</t>
  </si>
  <si>
    <t xml:space="preserve">Sales Forecast Request</t>
  </si>
  <si>
    <t xml:space="preserve">Current Supply Capacity</t>
  </si>
  <si>
    <t xml:space="preserve">Lead Time (weeks)</t>
  </si>
  <si>
    <t xml:space="preserve">MOQ</t>
  </si>
  <si>
    <t xml:space="preserve">Unit Cost (EUR)</t>
  </si>
  <si>
    <t xml:space="preserve">Inventory On Hand</t>
  </si>
  <si>
    <t xml:space="preserve">Target Inventory (1.5mo)</t>
  </si>
  <si>
    <t xml:space="preserve">Inventory Gap</t>
  </si>
  <si>
    <t xml:space="preserve">Consecutive Surplus Months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</si>
  <si>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</si>
  <si>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</si>
  <si>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</si>
  <si>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</si>
  <si>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</si>
  <si>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Poland Certification Delay</t>
  </si>
  <si>
    <t xml:space="preserve">Product: ESS Battery Pack 5kWh    Market: Poland    Unit: units    Lifecycle: established</t>
  </si>
  <si>
    <t xml:space="preserve">The renewal of Poland's grid-connection certification (fictional regulation name: NC-RfG Type B) is taking longer than expected, and battery models without completed certification cannot legally be sold in the country. Sales insists that already-contracted volumes must still be delivered on schedule, while Procurement maintains that supply is physically impossible until certification is complete — adding roughly two months of delay on top of the normal lead time.</t>
  </si>
  <si>
    <t xml:space="preserve">Germany Residential Battery Oversupply</t>
  </si>
  <si>
    <t xml:space="preserve">Product: Residential Battery 5kWh    Market: Germany    Unit: units    Lifecycle: established</t>
  </si>
  <si>
    <t xml:space="preserve">Germany's residential battery subsidy (fictional program: KfW-Home Storage Incentive) was scaled back earlier than expected, slowing real demand. Sales' forecast still reflects the originally contracted volumes, but actual sell-through has slowed and the warehouse already holds a significant surplus. Procurement is proposing an immediate halt to further production and a price action (promotion) to clear the excess stock.</t>
  </si>
  <si>
    <t xml:space="preserve">France Module Capacity Allocation</t>
  </si>
  <si>
    <t xml:space="preserve">Product: Q.TRON Module (fictional model, 590Wp)    Market: France    Unit: modules (quantity); MWp derived via POWERCLASS(Wp) x quantity / 10^6    Lifecycle: established</t>
  </si>
  <si>
    <t xml:space="preserve">Module orders for utility-scale projects in France are increasing, and Sales is requesting a larger MWp allocation for this customer. However, total production capacity must be split across multiple countries, and Procurement's position is that over-allocating to one market risks disrupting supply to others. Wafer procurement lead time is also a factor.</t>
  </si>
  <si>
    <t xml:space="preserve">Sales Forecast (qty)</t>
  </si>
  <si>
    <t xml:space="preserve">Supply Capacity (qty)</t>
  </si>
  <si>
    <t xml:space="preserve">MOQ (qty)</t>
  </si>
  <si>
    <t xml:space="preserve">Unit Cost (EUR/module)</t>
  </si>
  <si>
    <t xml:space="preserve">Inventory On Hand (qty)</t>
  </si>
  <si>
    <t xml:space="preserve">Power Class (Wp)</t>
  </si>
  <si>
    <t xml:space="preserve">Sales Forecast (MWp)</t>
  </si>
  <si>
    <t xml:space="preserve">Supply Capacity (MWp)</t>
  </si>
  <si>
    <t xml:space="preserve">Target Inventory (1.5mo, qty)</t>
  </si>
  <si>
    <t xml:space="preserve">Inventory Gap (qty)</t>
  </si>
  <si>
    <t xml:space="preserve">Germany New Compact ESS Launch</t>
  </si>
  <si>
    <t xml:space="preserve">Product: Q.SAVE Compact 3kWh (NEW)    Market: Germany    Unit: units    Lifecycle: new_launch (launch: 2026-10)</t>
  </si>
  <si>
    <t xml:space="preserve">The new Q.SAVE Compact 3kWh model is scheduled to launch in Germany in October 2026. No historical sales data exists — Sales' requested volume is based on the early sell-through pattern of a comparable existing product (the 5kWh model) and a market-sizing estimate, not on actual trend data. The new production line is in its initial ramp-up phase, starting at 60-80% of normal capacity and expanding gradually. This scenario is designed to show that the agents must reason differently here — from analog-product inference and market estimation, rather than extrapolating a historical trend.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</si>
</sst>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  <c r="B7" s="2" t="s">
        <v>5</v>
      </c>
    </row>
    <row r="8" customFormat="false" ht="15" hidden="false" customHeight="false" outlineLevel="0" collapsed="false">
      <c r="A8" s="5" t="s">
        <v>6</v>
      </c>
      <c r="B8" s="2" t="s">
        <v>7</v>
      </c>
    </row>
    <row r="9" customFormat="false" ht="15" hidden="false" customHeight="false" outlineLevel="0" collapsed="false">
      <c r="A9" s="5" t="s">
        <v>8</v>
      </c>
      <c r="B9" s="2" t="s">
        <v>9</v>
      </c>
    </row>
    <row r="10" customFormat="false" ht="15" hidden="false" customHeight="false" outlineLevel="0" collapsed="false">
      <c r="A10" s="5" t="s">
        <v>10</v>
      </c>
      <c r="B10" s="2" t="s">
        <v>11</v>
      </c>
    </row>
    <row r="11" customFormat="false" ht="15" hidden="false" customHeight="false" outlineLevel="0" collapsed="false">
      <c r="A11" s="5" t="s">
        <v>12</v>
      </c>
      <c r="B11" s="2" t="s">
        <v>13</v>
      </c>
    </row>
    <row r="12" customFormat="false" ht="15" hidden="false" customHeight="false" outlineLevel="0" collapsed="false">
      <c r="A12" s="5" t="s">
        <v>14</v>
      </c>
      <c r="B12" s="2" t="s">
        <v>15</v>
      </c>
    </row>
    <row r="13" customFormat="false" ht="15" hidden="false" customHeight="false" outlineLevel="0" collapsed="false">
      <c r="A13" s="5" t="s">
        <v>16</v>
      </c>
      <c r="B13" s="2" t="s">
        <v>17</v>
      </c>
    </row>
    <row r="14" customFormat="false" ht="15" hidden="false" customHeight="false" outlineLevel="0" collapsed="false">
      <c r="A14" s="5" t="s">
        <v>18</v>
      </c>
      <c r="B14" s="2" t="s">
        <v>19</v>
      </c>
    </row>
    <row r="15" customFormat="false" ht="15" hidden="false" customHeight="false" outlineLevel="0" collapsed="false">
      <c r="A15" s="5" t="s">
        <v>20</v>
      </c>
      <c r="B15" s="2" t="s">
        <v>21</v>
      </c>
    </row>
    <row r="16" customFormat="false" ht="15" hidden="false" customHeight="false" outlineLevel="0" collapsed="false">
      <c r="A16" s="5" t="s">
        <v>22</v>
      </c>
      <c r="B16" s="2" t="s">
        <v>23</v>
      </c>
    </row>
    <row r="17" customFormat="false" ht="15" hidden="false" customHeight="false" outlineLevel="0" collapsed="false">
      <c r="A17" s="5" t="s">
        <v>24</v>
      </c>
      <c r="B17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6.15" hidden="false" customHeight="false" outlineLevel="0" collapsed="false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60" hidden="false" customHeight="true" outlineLevel="0" collapsed="false">
      <c r="A3" s="8" t="s">
        <v>28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customFormat="false" ht="1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</row>
    <row r="6" customFormat="false" ht="15" hidden="false" customHeight="false" outlineLevel="0" collapsed="false">
      <c r="A6" s="2" t="s">
        <v>39</v>
      </c>
      <c r="B6" s="2" t="n">
        <v>850</v>
      </c>
      <c r="C6" s="2" t="n">
        <v>600</v>
      </c>
      <c r="D6" s="2" t="n">
        <v>10</v>
      </c>
      <c r="E6" s="2" t="n">
        <v>100</v>
      </c>
      <c r="F6" s="10" t="n">
        <v>890</v>
      </c>
      <c r="G6" s="2" t="n">
        <v>120</v>
      </c>
      <c r="H6" s="2" t="n">
        <f aca="false">1.5*B6</f>
        <v>1275</v>
      </c>
      <c r="I6" s="2" t="n">
        <f aca="false">G6-H6</f>
        <v>-1155</v>
      </c>
      <c r="J6" s="2" t="n">
        <f aca="false">IF(I6&gt;0,1,0)</f>
        <v>0</v>
      </c>
    </row>
    <row r="7" customFormat="false" ht="15" hidden="false" customHeight="false" outlineLevel="0" collapsed="false">
      <c r="A7" s="2" t="s">
        <v>40</v>
      </c>
      <c r="B7" s="2" t="n">
        <v>1100</v>
      </c>
      <c r="C7" s="2" t="n">
        <v>650</v>
      </c>
      <c r="D7" s="2" t="n">
        <v>10</v>
      </c>
      <c r="E7" s="2" t="n">
        <v>100</v>
      </c>
      <c r="F7" s="10" t="n">
        <v>890</v>
      </c>
      <c r="G7" s="2" t="n">
        <v>0</v>
      </c>
      <c r="H7" s="2" t="n">
        <f aca="false">1.5*B7</f>
        <v>1650</v>
      </c>
      <c r="I7" s="2" t="n">
        <f aca="false">G7-H7</f>
        <v>-1650</v>
      </c>
      <c r="J7" s="2" t="n">
        <f aca="false">IF(I7&gt;0,J6+1,0)</f>
        <v>0</v>
      </c>
    </row>
    <row r="8" customFormat="false" ht="15" hidden="false" customHeight="false" outlineLevel="0" collapsed="false">
      <c r="A8" s="2" t="s">
        <v>41</v>
      </c>
      <c r="B8" s="2" t="n">
        <v>1400</v>
      </c>
      <c r="C8" s="2" t="n">
        <v>700</v>
      </c>
      <c r="D8" s="2" t="n">
        <v>12</v>
      </c>
      <c r="E8" s="2" t="n">
        <v>100</v>
      </c>
      <c r="F8" s="10" t="n">
        <v>905</v>
      </c>
      <c r="G8" s="2" t="n">
        <v>0</v>
      </c>
      <c r="H8" s="2" t="n">
        <f aca="false">1.5*B8</f>
        <v>2100</v>
      </c>
      <c r="I8" s="2" t="n">
        <f aca="false">G8-H8</f>
        <v>-2100</v>
      </c>
      <c r="J8" s="2" t="n">
        <f aca="false">IF(I8&gt;0,J7+1,0)</f>
        <v>0</v>
      </c>
    </row>
    <row r="9" customFormat="false" ht="15" hidden="false" customHeight="false" outlineLevel="0" collapsed="false">
      <c r="A9" s="2" t="s">
        <v>42</v>
      </c>
      <c r="B9" s="2" t="n">
        <v>1600</v>
      </c>
      <c r="C9" s="2" t="n">
        <v>750</v>
      </c>
      <c r="D9" s="2" t="n">
        <v>12</v>
      </c>
      <c r="E9" s="2" t="n">
        <v>100</v>
      </c>
      <c r="F9" s="10" t="n">
        <v>905</v>
      </c>
      <c r="G9" s="2" t="n">
        <v>0</v>
      </c>
      <c r="H9" s="2" t="n">
        <f aca="false">1.5*B9</f>
        <v>2400</v>
      </c>
      <c r="I9" s="2" t="n">
        <f aca="false">G9-H9</f>
        <v>-2400</v>
      </c>
      <c r="J9" s="2" t="n">
        <f aca="false">IF(I9&gt;0,J8+1,0)</f>
        <v>0</v>
      </c>
    </row>
    <row r="10" customFormat="false" ht="15" hidden="false" customHeight="false" outlineLevel="0" collapsed="false">
      <c r="A10" s="2" t="s">
        <v>43</v>
      </c>
      <c r="B10" s="2" t="n">
        <v>1750</v>
      </c>
      <c r="C10" s="2" t="n">
        <v>800</v>
      </c>
      <c r="D10" s="2" t="n">
        <v>14</v>
      </c>
      <c r="E10" s="2" t="n">
        <v>100</v>
      </c>
      <c r="F10" s="10" t="n">
        <v>920</v>
      </c>
      <c r="G10" s="2" t="n">
        <v>0</v>
      </c>
      <c r="H10" s="2" t="n">
        <f aca="false">1.5*B10</f>
        <v>2625</v>
      </c>
      <c r="I10" s="2" t="n">
        <f aca="false">G10-H10</f>
        <v>-2625</v>
      </c>
      <c r="J10" s="2" t="n">
        <f aca="false">IF(I10&gt;0,J9+1,0)</f>
        <v>0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6.15" hidden="false" customHeight="false" outlineLevel="0" collapsed="false">
      <c r="A1" s="6" t="s">
        <v>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45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60" hidden="false" customHeight="true" outlineLevel="0" collapsed="false">
      <c r="A3" s="8" t="s">
        <v>46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customFormat="false" ht="1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</row>
    <row r="6" customFormat="false" ht="15" hidden="false" customHeight="false" outlineLevel="0" collapsed="false">
      <c r="A6" s="2" t="s">
        <v>39</v>
      </c>
      <c r="B6" s="2" t="n">
        <v>400</v>
      </c>
      <c r="C6" s="2" t="n">
        <v>400</v>
      </c>
      <c r="D6" s="2" t="n">
        <v>10</v>
      </c>
      <c r="E6" s="2" t="n">
        <v>50</v>
      </c>
      <c r="F6" s="10" t="n">
        <v>1450</v>
      </c>
      <c r="G6" s="2" t="n">
        <v>300</v>
      </c>
      <c r="H6" s="2" t="n">
        <f aca="false">1.5*B6</f>
        <v>600</v>
      </c>
      <c r="I6" s="2" t="n">
        <f aca="false">G6-H6</f>
        <v>-300</v>
      </c>
      <c r="J6" s="2" t="n">
        <f aca="false">IF(I6&gt;0,1,0)</f>
        <v>0</v>
      </c>
    </row>
    <row r="7" customFormat="false" ht="15" hidden="false" customHeight="false" outlineLevel="0" collapsed="false">
      <c r="A7" s="2" t="s">
        <v>40</v>
      </c>
      <c r="B7" s="2" t="n">
        <v>450</v>
      </c>
      <c r="C7" s="2" t="n">
        <v>150</v>
      </c>
      <c r="D7" s="2" t="n">
        <v>18</v>
      </c>
      <c r="E7" s="2" t="n">
        <v>50</v>
      </c>
      <c r="F7" s="10" t="n">
        <v>1450</v>
      </c>
      <c r="G7" s="2" t="n">
        <v>0</v>
      </c>
      <c r="H7" s="2" t="n">
        <f aca="false">1.5*B7</f>
        <v>675</v>
      </c>
      <c r="I7" s="2" t="n">
        <f aca="false">G7-H7</f>
        <v>-675</v>
      </c>
      <c r="J7" s="2" t="n">
        <f aca="false">IF(I7&gt;0,J6+1,0)</f>
        <v>0</v>
      </c>
    </row>
    <row r="8" customFormat="false" ht="15" hidden="false" customHeight="false" outlineLevel="0" collapsed="false">
      <c r="A8" s="2" t="s">
        <v>41</v>
      </c>
      <c r="B8" s="2" t="n">
        <v>500</v>
      </c>
      <c r="C8" s="2" t="n">
        <v>100</v>
      </c>
      <c r="D8" s="2" t="n">
        <v>20</v>
      </c>
      <c r="E8" s="2" t="n">
        <v>50</v>
      </c>
      <c r="F8" s="10" t="n">
        <v>1470</v>
      </c>
      <c r="G8" s="2" t="n">
        <v>0</v>
      </c>
      <c r="H8" s="2" t="n">
        <f aca="false">1.5*B8</f>
        <v>750</v>
      </c>
      <c r="I8" s="2" t="n">
        <f aca="false">G8-H8</f>
        <v>-750</v>
      </c>
      <c r="J8" s="2" t="n">
        <f aca="false">IF(I8&gt;0,J7+1,0)</f>
        <v>0</v>
      </c>
    </row>
    <row r="9" customFormat="false" ht="15" hidden="false" customHeight="false" outlineLevel="0" collapsed="false">
      <c r="A9" s="2" t="s">
        <v>42</v>
      </c>
      <c r="B9" s="2" t="n">
        <v>500</v>
      </c>
      <c r="C9" s="2" t="n">
        <v>350</v>
      </c>
      <c r="D9" s="2" t="n">
        <v>14</v>
      </c>
      <c r="E9" s="2" t="n">
        <v>50</v>
      </c>
      <c r="F9" s="10" t="n">
        <v>1470</v>
      </c>
      <c r="G9" s="2" t="n">
        <v>0</v>
      </c>
      <c r="H9" s="2" t="n">
        <f aca="false">1.5*B9</f>
        <v>750</v>
      </c>
      <c r="I9" s="2" t="n">
        <f aca="false">G9-H9</f>
        <v>-750</v>
      </c>
      <c r="J9" s="2" t="n">
        <f aca="false">IF(I9&gt;0,J8+1,0)</f>
        <v>0</v>
      </c>
    </row>
    <row r="10" customFormat="false" ht="15" hidden="false" customHeight="false" outlineLevel="0" collapsed="false">
      <c r="A10" s="2" t="s">
        <v>43</v>
      </c>
      <c r="B10" s="2" t="n">
        <v>550</v>
      </c>
      <c r="C10" s="2" t="n">
        <v>500</v>
      </c>
      <c r="D10" s="2" t="n">
        <v>10</v>
      </c>
      <c r="E10" s="2" t="n">
        <v>50</v>
      </c>
      <c r="F10" s="10" t="n">
        <v>1470</v>
      </c>
      <c r="G10" s="2" t="n">
        <v>0</v>
      </c>
      <c r="H10" s="2" t="n">
        <f aca="false">1.5*B10</f>
        <v>825</v>
      </c>
      <c r="I10" s="2" t="n">
        <f aca="false">G10-H10</f>
        <v>-825</v>
      </c>
      <c r="J10" s="2" t="n">
        <f aca="false">IF(I10&gt;0,J9+1,0)</f>
        <v>0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6.15" hidden="false" customHeight="false" outlineLevel="0" collapsed="false">
      <c r="A1" s="6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48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60" hidden="false" customHeight="true" outlineLevel="0" collapsed="false">
      <c r="A3" s="8" t="s">
        <v>49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customFormat="false" ht="1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</row>
    <row r="6" customFormat="false" ht="15" hidden="false" customHeight="false" outlineLevel="0" collapsed="false">
      <c r="A6" s="2" t="s">
        <v>39</v>
      </c>
      <c r="B6" s="2" t="n">
        <v>900</v>
      </c>
      <c r="C6" s="2" t="n">
        <v>900</v>
      </c>
      <c r="D6" s="2" t="n">
        <v>10</v>
      </c>
      <c r="E6" s="2" t="n">
        <v>100</v>
      </c>
      <c r="F6" s="10" t="n">
        <v>1200</v>
      </c>
      <c r="G6" s="2" t="n">
        <v>1800</v>
      </c>
      <c r="H6" s="2" t="n">
        <f aca="false">1.5*B6</f>
        <v>1350</v>
      </c>
      <c r="I6" s="2" t="n">
        <f aca="false">G6-H6</f>
        <v>450</v>
      </c>
      <c r="J6" s="2" t="n">
        <f aca="false">IF(I6&gt;0,1,0)</f>
        <v>1</v>
      </c>
    </row>
    <row r="7" customFormat="false" ht="15" hidden="false" customHeight="false" outlineLevel="0" collapsed="false">
      <c r="A7" s="2" t="s">
        <v>40</v>
      </c>
      <c r="B7" s="2" t="n">
        <v>850</v>
      </c>
      <c r="C7" s="2" t="n">
        <v>900</v>
      </c>
      <c r="D7" s="2" t="n">
        <v>10</v>
      </c>
      <c r="E7" s="2" t="n">
        <v>100</v>
      </c>
      <c r="F7" s="10" t="n">
        <v>1200</v>
      </c>
      <c r="G7" s="2" t="n">
        <v>2400</v>
      </c>
      <c r="H7" s="2" t="n">
        <f aca="false">1.5*B7</f>
        <v>1275</v>
      </c>
      <c r="I7" s="2" t="n">
        <f aca="false">G7-H7</f>
        <v>1125</v>
      </c>
      <c r="J7" s="2" t="n">
        <f aca="false">IF(I7&gt;0,J6+1,0)</f>
        <v>2</v>
      </c>
    </row>
    <row r="8" customFormat="false" ht="15" hidden="false" customHeight="false" outlineLevel="0" collapsed="false">
      <c r="A8" s="2" t="s">
        <v>41</v>
      </c>
      <c r="B8" s="2" t="n">
        <v>800</v>
      </c>
      <c r="C8" s="2" t="n">
        <v>900</v>
      </c>
      <c r="D8" s="2" t="n">
        <v>10</v>
      </c>
      <c r="E8" s="2" t="n">
        <v>100</v>
      </c>
      <c r="F8" s="10" t="n">
        <v>1180</v>
      </c>
      <c r="G8" s="2" t="n">
        <v>3050</v>
      </c>
      <c r="H8" s="2" t="n">
        <f aca="false">1.5*B8</f>
        <v>1200</v>
      </c>
      <c r="I8" s="2" t="n">
        <f aca="false">G8-H8</f>
        <v>1850</v>
      </c>
      <c r="J8" s="2" t="n">
        <f aca="false">IF(I8&gt;0,J7+1,0)</f>
        <v>3</v>
      </c>
    </row>
    <row r="9" customFormat="false" ht="15" hidden="false" customHeight="false" outlineLevel="0" collapsed="false">
      <c r="A9" s="2" t="s">
        <v>42</v>
      </c>
      <c r="B9" s="2" t="n">
        <v>750</v>
      </c>
      <c r="C9" s="2" t="n">
        <v>900</v>
      </c>
      <c r="D9" s="2" t="n">
        <v>10</v>
      </c>
      <c r="E9" s="2" t="n">
        <v>100</v>
      </c>
      <c r="F9" s="10" t="n">
        <v>1180</v>
      </c>
      <c r="G9" s="2" t="n">
        <v>3700</v>
      </c>
      <c r="H9" s="2" t="n">
        <f aca="false">1.5*B9</f>
        <v>1125</v>
      </c>
      <c r="I9" s="2" t="n">
        <f aca="false">G9-H9</f>
        <v>2575</v>
      </c>
      <c r="J9" s="2" t="n">
        <f aca="false">IF(I9&gt;0,J8+1,0)</f>
        <v>4</v>
      </c>
    </row>
    <row r="10" customFormat="false" ht="15" hidden="false" customHeight="false" outlineLevel="0" collapsed="false">
      <c r="A10" s="2" t="s">
        <v>43</v>
      </c>
      <c r="B10" s="2" t="n">
        <v>700</v>
      </c>
      <c r="C10" s="2" t="n">
        <v>900</v>
      </c>
      <c r="D10" s="2" t="n">
        <v>10</v>
      </c>
      <c r="E10" s="2" t="n">
        <v>100</v>
      </c>
      <c r="F10" s="10" t="n">
        <v>1150</v>
      </c>
      <c r="G10" s="2" t="n">
        <v>4350</v>
      </c>
      <c r="H10" s="2" t="n">
        <f aca="false">1.5*B10</f>
        <v>1050</v>
      </c>
      <c r="I10" s="2" t="n">
        <f aca="false">G10-H10</f>
        <v>3300</v>
      </c>
      <c r="J10" s="2" t="n">
        <f aca="false">IF(I10&gt;0,J9+1,0)</f>
        <v>5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0"/>
  </cols>
  <sheetData>
    <row r="1" customFormat="false" ht="16.15" hidden="false" customHeight="false" outlineLevel="0" collapsed="false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60" hidden="false" customHeight="true" outlineLevel="0" collapsed="false">
      <c r="A3" s="8" t="s">
        <v>52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customFormat="false" ht="15" hidden="false" customHeight="false" outlineLevel="0" collapsed="false">
      <c r="A5" s="9" t="s">
        <v>29</v>
      </c>
      <c r="B5" s="9" t="s">
        <v>53</v>
      </c>
      <c r="C5" s="9" t="s">
        <v>54</v>
      </c>
      <c r="D5" s="9" t="s">
        <v>32</v>
      </c>
      <c r="E5" s="9" t="s">
        <v>55</v>
      </c>
      <c r="F5" s="9" t="s">
        <v>56</v>
      </c>
      <c r="G5" s="9" t="s">
        <v>57</v>
      </c>
      <c r="H5" s="9" t="s">
        <v>58</v>
      </c>
      <c r="I5" s="9" t="s">
        <v>59</v>
      </c>
      <c r="J5" s="9" t="s">
        <v>60</v>
      </c>
      <c r="K5" s="9" t="s">
        <v>61</v>
      </c>
      <c r="L5" s="9" t="s">
        <v>62</v>
      </c>
    </row>
    <row r="6" customFormat="false" ht="15" hidden="false" customHeight="false" outlineLevel="0" collapsed="false">
      <c r="A6" s="2" t="s">
        <v>39</v>
      </c>
      <c r="B6" s="2" t="n">
        <v>30500</v>
      </c>
      <c r="C6" s="2" t="n">
        <v>23700</v>
      </c>
      <c r="D6" s="2" t="n">
        <v>10</v>
      </c>
      <c r="E6" s="2" t="n">
        <v>500</v>
      </c>
      <c r="F6" s="10" t="n">
        <v>56</v>
      </c>
      <c r="G6" s="2" t="n">
        <v>3400</v>
      </c>
      <c r="H6" s="11" t="n">
        <v>590</v>
      </c>
      <c r="I6" s="12" t="n">
        <f aca="false">H6*B6/1000000</f>
        <v>17.995</v>
      </c>
      <c r="J6" s="12" t="n">
        <f aca="false">H6*C6/1000000</f>
        <v>13.983</v>
      </c>
      <c r="K6" s="2" t="n">
        <f aca="false">1.5*B6</f>
        <v>45750</v>
      </c>
      <c r="L6" s="2" t="n">
        <f aca="false">G6-K6</f>
        <v>-42350</v>
      </c>
    </row>
    <row r="7" customFormat="false" ht="15" hidden="false" customHeight="false" outlineLevel="0" collapsed="false">
      <c r="A7" s="2" t="s">
        <v>40</v>
      </c>
      <c r="B7" s="2" t="n">
        <v>37300</v>
      </c>
      <c r="C7" s="2" t="n">
        <v>25400</v>
      </c>
      <c r="D7" s="2" t="n">
        <v>11</v>
      </c>
      <c r="E7" s="2" t="n">
        <v>500</v>
      </c>
      <c r="F7" s="10" t="n">
        <v>55</v>
      </c>
      <c r="G7" s="2" t="n">
        <v>0</v>
      </c>
      <c r="H7" s="11" t="n">
        <v>590</v>
      </c>
      <c r="I7" s="12" t="n">
        <f aca="false">H7*B7/1000000</f>
        <v>22.007</v>
      </c>
      <c r="J7" s="12" t="n">
        <f aca="false">H7*C7/1000000</f>
        <v>14.986</v>
      </c>
      <c r="K7" s="2" t="n">
        <f aca="false">1.5*B7</f>
        <v>55950</v>
      </c>
      <c r="L7" s="2" t="n">
        <f aca="false">G7-K7</f>
        <v>-55950</v>
      </c>
    </row>
    <row r="8" customFormat="false" ht="15" hidden="false" customHeight="false" outlineLevel="0" collapsed="false">
      <c r="A8" s="2" t="s">
        <v>41</v>
      </c>
      <c r="B8" s="2" t="n">
        <v>44100</v>
      </c>
      <c r="C8" s="2" t="n">
        <v>27100</v>
      </c>
      <c r="D8" s="2" t="n">
        <v>12</v>
      </c>
      <c r="E8" s="2" t="n">
        <v>500</v>
      </c>
      <c r="F8" s="10" t="n">
        <v>55</v>
      </c>
      <c r="G8" s="2" t="n">
        <v>0</v>
      </c>
      <c r="H8" s="11" t="n">
        <v>590</v>
      </c>
      <c r="I8" s="12" t="n">
        <f aca="false">H8*B8/1000000</f>
        <v>26.019</v>
      </c>
      <c r="J8" s="12" t="n">
        <f aca="false">H8*C8/1000000</f>
        <v>15.989</v>
      </c>
      <c r="K8" s="2" t="n">
        <f aca="false">1.5*B8</f>
        <v>66150</v>
      </c>
      <c r="L8" s="2" t="n">
        <f aca="false">G8-K8</f>
        <v>-66150</v>
      </c>
    </row>
    <row r="9" customFormat="false" ht="15" hidden="false" customHeight="false" outlineLevel="0" collapsed="false">
      <c r="A9" s="2" t="s">
        <v>42</v>
      </c>
      <c r="B9" s="2" t="n">
        <v>47500</v>
      </c>
      <c r="C9" s="2" t="n">
        <v>28800</v>
      </c>
      <c r="D9" s="2" t="n">
        <v>12</v>
      </c>
      <c r="E9" s="2" t="n">
        <v>500</v>
      </c>
      <c r="F9" s="10" t="n">
        <v>54</v>
      </c>
      <c r="G9" s="2" t="n">
        <v>0</v>
      </c>
      <c r="H9" s="11" t="n">
        <v>590</v>
      </c>
      <c r="I9" s="12" t="n">
        <f aca="false">H9*B9/1000000</f>
        <v>28.025</v>
      </c>
      <c r="J9" s="12" t="n">
        <f aca="false">H9*C9/1000000</f>
        <v>16.992</v>
      </c>
      <c r="K9" s="2" t="n">
        <f aca="false">1.5*B9</f>
        <v>71250</v>
      </c>
      <c r="L9" s="2" t="n">
        <f aca="false">G9-K9</f>
        <v>-71250</v>
      </c>
    </row>
    <row r="10" customFormat="false" ht="15" hidden="false" customHeight="false" outlineLevel="0" collapsed="false">
      <c r="A10" s="2" t="s">
        <v>43</v>
      </c>
      <c r="B10" s="2" t="n">
        <v>50800</v>
      </c>
      <c r="C10" s="2" t="n">
        <v>30500</v>
      </c>
      <c r="D10" s="2" t="n">
        <v>14</v>
      </c>
      <c r="E10" s="2" t="n">
        <v>500</v>
      </c>
      <c r="F10" s="10" t="n">
        <v>54</v>
      </c>
      <c r="G10" s="2" t="n">
        <v>0</v>
      </c>
      <c r="H10" s="11" t="n">
        <v>590</v>
      </c>
      <c r="I10" s="12" t="n">
        <f aca="false">H10*B10/1000000</f>
        <v>29.972</v>
      </c>
      <c r="J10" s="12" t="n">
        <f aca="false">H10*C10/1000000</f>
        <v>17.995</v>
      </c>
      <c r="K10" s="2" t="n">
        <f aca="false">1.5*B10</f>
        <v>76200</v>
      </c>
      <c r="L10" s="2" t="n">
        <f aca="false">G10-K10</f>
        <v>-76200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6.15" hidden="false" customHeight="false" outlineLevel="0" collapsed="false">
      <c r="A1" s="6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60" hidden="false" customHeight="true" outlineLevel="0" collapsed="false">
      <c r="A3" s="8" t="s">
        <v>65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customFormat="false" ht="1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</row>
    <row r="6" customFormat="false" ht="15" hidden="false" customHeight="false" outlineLevel="0" collapsed="false">
      <c r="A6" s="2" t="s">
        <v>41</v>
      </c>
      <c r="B6" s="2" t="n">
        <v>300</v>
      </c>
      <c r="C6" s="2" t="n">
        <v>180</v>
      </c>
      <c r="D6" s="2" t="n">
        <v>12</v>
      </c>
      <c r="E6" s="2" t="n">
        <v>50</v>
      </c>
      <c r="F6" s="10" t="n">
        <v>780</v>
      </c>
      <c r="G6" s="2" t="n">
        <v>0</v>
      </c>
      <c r="H6" s="2" t="n">
        <f aca="false">1.5*B6</f>
        <v>450</v>
      </c>
      <c r="I6" s="2" t="n">
        <f aca="false">G6-H6</f>
        <v>-450</v>
      </c>
      <c r="J6" s="2" t="n">
        <f aca="false">IF(I6&gt;0,1,0)</f>
        <v>0</v>
      </c>
    </row>
    <row r="7" customFormat="false" ht="15" hidden="false" customHeight="false" outlineLevel="0" collapsed="false">
      <c r="A7" s="2" t="s">
        <v>42</v>
      </c>
      <c r="B7" s="2" t="n">
        <v>480</v>
      </c>
      <c r="C7" s="2" t="n">
        <v>260</v>
      </c>
      <c r="D7" s="2" t="n">
        <v>12</v>
      </c>
      <c r="E7" s="2" t="n">
        <v>50</v>
      </c>
      <c r="F7" s="10" t="n">
        <v>770</v>
      </c>
      <c r="G7" s="2" t="n">
        <v>0</v>
      </c>
      <c r="H7" s="2" t="n">
        <f aca="false">1.5*B7</f>
        <v>720</v>
      </c>
      <c r="I7" s="2" t="n">
        <f aca="false">G7-H7</f>
        <v>-720</v>
      </c>
      <c r="J7" s="2" t="n">
        <f aca="false">IF(I7&gt;0,J6+1,0)</f>
        <v>0</v>
      </c>
    </row>
    <row r="8" customFormat="false" ht="15" hidden="false" customHeight="false" outlineLevel="0" collapsed="false">
      <c r="A8" s="2" t="s">
        <v>43</v>
      </c>
      <c r="B8" s="2" t="n">
        <v>620</v>
      </c>
      <c r="C8" s="2" t="n">
        <v>380</v>
      </c>
      <c r="D8" s="2" t="n">
        <v>10</v>
      </c>
      <c r="E8" s="2" t="n">
        <v>50</v>
      </c>
      <c r="F8" s="10" t="n">
        <v>760</v>
      </c>
      <c r="G8" s="2" t="n">
        <v>0</v>
      </c>
      <c r="H8" s="2" t="n">
        <f aca="false">1.5*B8</f>
        <v>930</v>
      </c>
      <c r="I8" s="2" t="n">
        <f aca="false">G8-H8</f>
        <v>-930</v>
      </c>
      <c r="J8" s="2" t="n">
        <f aca="false">IF(I8&gt;0,J7+1,0)</f>
        <v>0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2026-07-08T14:14:43Z</dcterms:created>
  <dc:creator>openpyxl</dc:creator>
  <dc:description/>
  <dc:language>en-US</dc:language>
  <cp:lastModifiedBy/>
  <dcterms:modified xsi:type="dcterms:W3CDTF">2026-07-08T14:14:43Z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